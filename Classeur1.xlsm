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Ordi\Desktop\M2QF\advancedprogramming\projet\Dll1\"/>
    </mc:Choice>
  </mc:AlternateContent>
  <xr:revisionPtr revIDLastSave="0" documentId="13_ncr:1_{B417CF4A-41CF-4436-9C00-2462FACC455D}" xr6:coauthVersionLast="47" xr6:coauthVersionMax="47" xr10:uidLastSave="{00000000-0000-0000-0000-000000000000}"/>
  <bookViews>
    <workbookView xWindow="-120" yWindow="-120" windowWidth="20730" windowHeight="11160" activeTab="1" xr2:uid="{3596E108-973B-4A8F-9414-EAC40BB43050}"/>
  </bookViews>
  <sheets>
    <sheet name="Feuil1" sheetId="1" r:id="rId1"/>
    <sheet name="Feuil2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0" i="1" l="1" a="1"/>
  <c r="G10" i="1"/>
  <c r="E9" i="1"/>
  <c r="E10" i="1" a="1"/>
  <c r="E10" i="1" s="1"/>
  <c r="A14" i="1" a="1"/>
  <c r="A14" i="1" s="1"/>
  <c r="A12" i="1" a="1"/>
  <c r="A12" i="1" s="1"/>
  <c r="A1" i="1" a="1"/>
  <c r="A13" i="1" a="1"/>
  <c r="A2" i="1" a="1"/>
  <c r="A16" i="1" a="1"/>
  <c r="A15" i="1" a="1"/>
  <c r="C4" i="1" a="1"/>
  <c r="E2" i="1" a="1"/>
  <c r="E5" i="1" a="1"/>
  <c r="E3" i="1" a="1"/>
  <c r="E4" i="1" a="1"/>
  <c r="E4" i="1" l="1"/>
  <c r="E2" i="1"/>
  <c r="E5" i="1"/>
  <c r="E3" i="1"/>
  <c r="C4" i="1"/>
  <c r="A16" i="1"/>
  <c r="A15" i="1"/>
  <c r="A13" i="1"/>
  <c r="A2" i="1"/>
  <c r="A1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<sst xmlns="http://schemas.openxmlformats.org/spreadsheetml/2006/main" count="7" uniqueCount="7">
  <si>
    <t>Projet C++</t>
  </si>
  <si>
    <t>Underlying Price</t>
  </si>
  <si>
    <t>Interest rate</t>
  </si>
  <si>
    <t xml:space="preserve">Implied Volatility </t>
  </si>
  <si>
    <t xml:space="preserve">maturity </t>
  </si>
  <si>
    <t>T0</t>
  </si>
  <si>
    <t>Call/Put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</si>
</sst>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color theme="9"/>
      <name val="Calibri"/>
      <family val="2"/>
      <scheme val="minor"/>
    </font>
    <font>
      <b/>
      <sz val="28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2" fontId="0" fillId="0" borderId="0" xfId="0" applyNumberFormat="1"/>
    <xf numFmtId="0" fontId="1" fillId="2" borderId="0" xfId="0" applyFont="1" applyFill="1"/>
    <xf numFmtId="0" fontId="2" fillId="2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F01B75-7B62-48F7-8596-A83917B5126C}">
  <sheetPr codeName="Feuil1"/>
  <dimension ref="A1:G16"/>
  <sheetViews>
    <sheetView workbookViewId="0">
      <selection activeCell="H2" sqref="H2"/>
    </sheetView>
  </sheetViews>
  <sheetFormatPr baseColWidth="10" defaultRowHeight="15" x14ac:dyDescent="0.25"/>
  <sheetData>
    <row r="1" spans="1:7" x14ac:dyDescent="0.25">
      <c r="A1" cm="1">
        <f t="array" ref="A1">CallPricerFunction()</f>
        <v>7.5863274144842192</v>
      </c>
    </row>
    <row r="2" spans="1:7" x14ac:dyDescent="0.25">
      <c r="A2" t="e" cm="1">
        <f t="array" ref="A2">_xludf.sum(2.3)</f>
        <v>#VALUE!</v>
      </c>
      <c r="C2" s="1">
        <v>5</v>
      </c>
      <c r="D2" s="1">
        <v>50</v>
      </c>
      <c r="E2" cm="1">
        <f t="array" ref="E2">myDelta(D2,D3,D4,D5,D6,D7,D8,D9,D10)</f>
        <v>0.70016731846763047</v>
      </c>
    </row>
    <row r="3" spans="1:7" x14ac:dyDescent="0.25">
      <c r="C3" s="1">
        <v>5</v>
      </c>
      <c r="D3">
        <v>0.1</v>
      </c>
      <c r="E3" cm="1">
        <f t="array" ref="E3">Pricer(D2,D3,D4,D5,D6,D7,D8,D9)</f>
        <v>8.0147996317450563</v>
      </c>
    </row>
    <row r="4" spans="1:7" x14ac:dyDescent="0.25">
      <c r="C4" cm="1">
        <f t="array" ref="C4">mysum(C2,C3)</f>
        <v>10</v>
      </c>
      <c r="D4">
        <v>0.4</v>
      </c>
      <c r="E4" cm="1">
        <f t="array" ref="E4">myGamma(D2,D3,D4,D5,D6,D7,D8,D9,D10)</f>
        <v>-15.520989771358714</v>
      </c>
    </row>
    <row r="5" spans="1:7" x14ac:dyDescent="0.25">
      <c r="D5">
        <v>0.25</v>
      </c>
      <c r="E5" t="e" cm="1">
        <f t="array" ref="E5">myRho(D2,D3,D4,D5,D6,D7,D8,D9,D10)</f>
        <v>#NUM!</v>
      </c>
    </row>
    <row r="6" spans="1:7" x14ac:dyDescent="0.25">
      <c r="D6">
        <v>0</v>
      </c>
    </row>
    <row r="7" spans="1:7" x14ac:dyDescent="0.25">
      <c r="D7">
        <v>0</v>
      </c>
    </row>
    <row r="8" spans="1:7" x14ac:dyDescent="0.25">
      <c r="D8" s="1">
        <v>1000</v>
      </c>
    </row>
    <row r="9" spans="1:7" x14ac:dyDescent="0.25">
      <c r="D9" s="1">
        <v>1000</v>
      </c>
      <c r="E9">
        <f>E11</f>
        <v>0</v>
      </c>
    </row>
    <row r="10" spans="1:7" x14ac:dyDescent="0.25">
      <c r="D10">
        <v>0.1</v>
      </c>
      <c r="E10" t="e" cm="1">
        <f t="array" ref="E10">Del</f>
        <v>#NAME?</v>
      </c>
      <c r="G10" t="e" cm="1">
        <f t="array" ref="G10">my</f>
        <v>#NAME?</v>
      </c>
    </row>
    <row r="12" spans="1:7" x14ac:dyDescent="0.25">
      <c r="A12" t="e" cm="1">
        <f t="array" ref="A12">su</f>
        <v>#NAME?</v>
      </c>
    </row>
    <row r="13" spans="1:7" x14ac:dyDescent="0.25">
      <c r="A13" t="e" cm="1">
        <f t="array" ref="A13">_xludf.sum(2.3)</f>
        <v>#VALUE!</v>
      </c>
    </row>
    <row r="14" spans="1:7" x14ac:dyDescent="0.25">
      <c r="A14" t="e" cm="1">
        <f t="array" aca="1" ref="A14" ca="1">_xludf.sum(5.5)</f>
        <v>#NAME?</v>
      </c>
    </row>
    <row r="15" spans="1:7" x14ac:dyDescent="0.25">
      <c r="A15" t="e" cm="1">
        <f t="array" ref="A15">mysum(5.5)</f>
        <v>#VALUE!</v>
      </c>
    </row>
    <row r="16" spans="1:7" x14ac:dyDescent="0.25">
      <c r="A16" t="e" cm="1">
        <f t="array" ref="A16">mysum(5.5)</f>
        <v>#VALUE!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70B6E4-FF70-4133-AF1B-FD0D2C8C9F4B}">
  <dimension ref="A1:F4"/>
  <sheetViews>
    <sheetView tabSelected="1" workbookViewId="0">
      <selection activeCell="F4" sqref="F4"/>
    </sheetView>
  </sheetViews>
  <sheetFormatPr baseColWidth="10" defaultRowHeight="15" x14ac:dyDescent="0.25"/>
  <sheetData>
    <row r="1" spans="1:6" s="2" customFormat="1" ht="60.75" customHeight="1" x14ac:dyDescent="0.55000000000000004">
      <c r="F1" s="3" t="s">
        <v>0</v>
      </c>
    </row>
    <row r="3" spans="1:6" ht="15.75" customHeight="1" x14ac:dyDescent="0.25">
      <c r="A3" t="s">
        <v>1</v>
      </c>
      <c r="B3" t="s">
        <v>2</v>
      </c>
      <c r="C3" t="s">
        <v>3</v>
      </c>
      <c r="D3" t="s">
        <v>4</v>
      </c>
      <c r="E3" t="s">
        <v>5</v>
      </c>
      <c r="F3" t="s">
        <v>6</v>
      </c>
    </row>
    <row r="4" spans="1:6" ht="15.75" customHeight="1" x14ac:dyDescent="0.25"/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Feuil1</vt:lpstr>
      <vt:lpstr>Feuil2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Amaury MANZIONE</dc:creator>
  <cp:lastModifiedBy>Amaury MANZIONE</cp:lastModifiedBy>
  <dcterms:created xsi:type="dcterms:W3CDTF">2023-12-20T19:42:23Z</dcterms:created>
  <dcterms:modified xsi:type="dcterms:W3CDTF">2023-12-21T09:48:06Z</dcterms:modified>
</cp:coreProperties>
</file>